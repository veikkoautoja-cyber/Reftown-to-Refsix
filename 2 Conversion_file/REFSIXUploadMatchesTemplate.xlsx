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ClaudeCode\Refsix\2 Conversion_file\"/>
    </mc:Choice>
  </mc:AlternateContent>
  <xr:revisionPtr revIDLastSave="0" documentId="13_ncr:1_{3793DA4E-931F-452A-BAA2-09E47CEBA011}" xr6:coauthVersionLast="47" xr6:coauthVersionMax="47" xr10:uidLastSave="{00000000-0000-0000-0000-000000000000}"/>
  <bookViews>
    <workbookView xWindow="-120" yWindow="-120" windowWidth="38640" windowHeight="21240" xr2:uid="{1CC15088-C6B7-4B5B-BE82-010C555B0A92}"/>
  </bookViews>
  <sheets>
    <sheet name="Tables_for_vlookups" sheetId="5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9" i="5" l="1"/>
  <c r="E28" i="5"/>
  <c r="E27" i="5"/>
  <c r="E26" i="5"/>
  <c r="E25" i="5"/>
  <c r="E23" i="5"/>
  <c r="E22" i="5"/>
  <c r="E21" i="5"/>
  <c r="E20" i="5"/>
  <c r="E19" i="5"/>
  <c r="E12" i="5"/>
  <c r="E17" i="5"/>
  <c r="E16" i="5"/>
  <c r="E15" i="5"/>
  <c r="E14" i="5"/>
  <c r="E13" i="5"/>
  <c r="E11" i="5"/>
  <c r="E10" i="5"/>
</calcChain>
</file>

<file path=xl/sharedStrings.xml><?xml version="1.0" encoding="utf-8"?>
<sst xmlns="http://schemas.openxmlformats.org/spreadsheetml/2006/main" count="108" uniqueCount="71">
  <si>
    <t>Match ID</t>
  </si>
  <si>
    <t>Competition</t>
  </si>
  <si>
    <t>Venue</t>
  </si>
  <si>
    <t>Time Zone</t>
  </si>
  <si>
    <t>Official Role</t>
  </si>
  <si>
    <t>Home Team Name</t>
  </si>
  <si>
    <t>Home Team Short Name</t>
  </si>
  <si>
    <t>Home Team Colour</t>
  </si>
  <si>
    <t>Away Team Name</t>
  </si>
  <si>
    <t>Away Team Short Name</t>
  </si>
  <si>
    <t>Away Team Colour</t>
  </si>
  <si>
    <t>Team Size</t>
  </si>
  <si>
    <t>Bench Size</t>
  </si>
  <si>
    <t>No of Periods</t>
  </si>
  <si>
    <t>Period Length</t>
  </si>
  <si>
    <t>Interval Length</t>
  </si>
  <si>
    <t>Extra Time</t>
  </si>
  <si>
    <t>Extra Time Length</t>
  </si>
  <si>
    <t>Misconduct Codes</t>
  </si>
  <si>
    <t>Dismissal Length</t>
  </si>
  <si>
    <t>Referee</t>
  </si>
  <si>
    <t>Assistant Referee</t>
  </si>
  <si>
    <t>4th Official</t>
  </si>
  <si>
    <t>Observer</t>
  </si>
  <si>
    <t>Fees</t>
  </si>
  <si>
    <t>Expenses</t>
  </si>
  <si>
    <t>Notes</t>
  </si>
  <si>
    <t xml:space="preserve">Tag 1 </t>
  </si>
  <si>
    <t>Tag 2</t>
  </si>
  <si>
    <t>Tag 3</t>
  </si>
  <si>
    <t>Tag 4</t>
  </si>
  <si>
    <t>Tag 5</t>
  </si>
  <si>
    <t>Penalty Kicks</t>
  </si>
  <si>
    <t>Record Goal Scorers</t>
  </si>
  <si>
    <t>Assistant Referee2</t>
  </si>
  <si>
    <t>Column Heading</t>
  </si>
  <si>
    <t>Mandatory</t>
  </si>
  <si>
    <t>Description</t>
  </si>
  <si>
    <t>Yes</t>
  </si>
  <si>
    <t>This will be your device's local time zone if not specified</t>
  </si>
  <si>
    <t>This will be generated by the app if left blank</t>
  </si>
  <si>
    <t>This is a hex value. https://www.w3schools.com/colors/colors_picker.asp</t>
  </si>
  <si>
    <t>This MUST be a unique ID, if you re-use an ID it will override an existing match</t>
  </si>
  <si>
    <t xml:space="preserve">Date </t>
  </si>
  <si>
    <t>Time</t>
  </si>
  <si>
    <t>24 hour (no AM or PM)</t>
  </si>
  <si>
    <t>Temporary Dismissals</t>
  </si>
  <si>
    <t>U14</t>
  </si>
  <si>
    <t>U13</t>
  </si>
  <si>
    <t>U11</t>
  </si>
  <si>
    <t>U12</t>
  </si>
  <si>
    <t>U15</t>
  </si>
  <si>
    <t>U16</t>
  </si>
  <si>
    <t>U17</t>
  </si>
  <si>
    <t>U18</t>
  </si>
  <si>
    <t>Ball 4, No int. heading, Rec: no slidetackles</t>
  </si>
  <si>
    <t>Length and team sizes</t>
  </si>
  <si>
    <t>Age group (steers vlookup)</t>
  </si>
  <si>
    <t xml:space="preserve"> </t>
  </si>
  <si>
    <t>Refsix field</t>
  </si>
  <si>
    <t>Your name</t>
  </si>
  <si>
    <t>7B</t>
  </si>
  <si>
    <t>5B</t>
  </si>
  <si>
    <t>6B</t>
  </si>
  <si>
    <t>8B</t>
  </si>
  <si>
    <t>9B</t>
  </si>
  <si>
    <t>5G</t>
  </si>
  <si>
    <t>6G</t>
  </si>
  <si>
    <t>Rec: no slidetackles</t>
  </si>
  <si>
    <t>FK8, PK10, Ball 4, No int. heading</t>
  </si>
  <si>
    <t>PK12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</si>
</sst>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4" fillId="3" borderId="5" applyNumberFormat="0" applyFont="0" applyAlignment="0" applyProtection="0"/>
    <xf numFmtId="0" fontId="1" fillId="0" borderId="0"/>
  </cellStyleXfs>
  <cellXfs count="1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64" fontId="2" fillId="2" borderId="2" xfId="0" applyNumberFormat="1" applyFont="1" applyFill="1" applyBorder="1"/>
    <xf numFmtId="20" fontId="2" fillId="2" borderId="2" xfId="0" applyNumberFormat="1" applyFont="1" applyFill="1" applyBorder="1"/>
    <xf numFmtId="49" fontId="2" fillId="2" borderId="2" xfId="0" applyNumberFormat="1" applyFont="1" applyFill="1" applyBorder="1"/>
    <xf numFmtId="1" fontId="2" fillId="2" borderId="2" xfId="0" applyNumberFormat="1" applyFont="1" applyFill="1" applyBorder="1"/>
    <xf numFmtId="0" fontId="2" fillId="2" borderId="3" xfId="0" applyFont="1" applyFill="1" applyBorder="1"/>
    <xf numFmtId="0" fontId="3" fillId="0" borderId="4" xfId="0" applyFont="1" applyBorder="1"/>
    <xf numFmtId="0" fontId="5" fillId="0" borderId="0" xfId="0" applyFont="1"/>
    <xf numFmtId="0" fontId="0" fillId="3" borderId="5" xfId="1" applyFont="1"/>
  </cellXfs>
  <cellStyles count="3">
    <cellStyle name="Normal" xfId="0" builtinId="0"/>
    <cellStyle name="Normal 2" xfId="2" xr:uid="{0730F598-15ED-4335-986C-6BA243749465}"/>
    <cellStyle name="Note" xfId="1" builtinId="1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colors>
    <mruColors>
      <color rgb="FFADD8E6"/>
      <color rgb="FFD3D3D3"/>
      <color rgb="FF800080"/>
      <color rgb="FFFF0000"/>
      <color rgb="FFE6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E7F475-9B5F-4C85-ABF0-857211823D4C}" name="Table26" displayName="Table26" ref="A33:C71" totalsRowShown="0">
  <autoFilter ref="A33:C71" xr:uid="{1EE7F475-9B5F-4C85-ABF0-857211823D4C}"/>
  <tableColumns count="3">
    <tableColumn id="1" xr3:uid="{9F1A8863-71CD-44E2-8D25-48AB719AAD89}" name="Column Heading" dataDxfId="0"/>
    <tableColumn id="2" xr3:uid="{608ABDAE-0729-42A7-8110-187B632111EA}" name="Mandatory"/>
    <tableColumn id="4" xr3:uid="{8C15CB41-CB72-4E91-BE70-560785803F56}" name="Description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1ABD-E8B3-49B0-8123-F4F9CC99CBF4}">
  <sheetPr>
    <tabColor theme="0" tint="-0.249977111117893"/>
  </sheetPr>
  <dimension ref="A2:H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6" sqref="C16"/>
    </sheetView>
  </sheetViews>
  <sheetFormatPr defaultRowHeight="15.75" x14ac:dyDescent="0.25"/>
  <cols>
    <col min="1" max="1" width="22.375" bestFit="1" customWidth="1"/>
    <col min="2" max="2" width="12.5" customWidth="1"/>
    <col min="3" max="3" width="27.5" customWidth="1"/>
  </cols>
  <sheetData>
    <row r="2" spans="1:8" x14ac:dyDescent="0.25">
      <c r="A2" t="s">
        <v>60</v>
      </c>
      <c r="B2" s="10" t="s">
        <v>60</v>
      </c>
    </row>
    <row r="7" spans="1:8" x14ac:dyDescent="0.25">
      <c r="A7" t="s">
        <v>56</v>
      </c>
    </row>
    <row r="9" spans="1:8" x14ac:dyDescent="0.25">
      <c r="A9" s="1" t="s">
        <v>57</v>
      </c>
      <c r="B9" s="1" t="s">
        <v>58</v>
      </c>
      <c r="C9" s="1" t="s">
        <v>26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</row>
    <row r="10" spans="1:8" x14ac:dyDescent="0.25">
      <c r="A10" t="s">
        <v>49</v>
      </c>
      <c r="C10" t="s">
        <v>69</v>
      </c>
      <c r="D10">
        <v>9</v>
      </c>
      <c r="E10">
        <f>16-D10</f>
        <v>7</v>
      </c>
      <c r="F10">
        <v>2</v>
      </c>
      <c r="G10">
        <v>30</v>
      </c>
      <c r="H10">
        <v>10</v>
      </c>
    </row>
    <row r="11" spans="1:8" x14ac:dyDescent="0.25">
      <c r="A11" t="s">
        <v>50</v>
      </c>
      <c r="C11" t="s">
        <v>69</v>
      </c>
      <c r="D11">
        <v>9</v>
      </c>
      <c r="E11">
        <f>16-D11</f>
        <v>7</v>
      </c>
      <c r="F11">
        <v>2</v>
      </c>
      <c r="G11">
        <v>30</v>
      </c>
      <c r="H11">
        <v>10</v>
      </c>
    </row>
    <row r="12" spans="1:8" x14ac:dyDescent="0.25">
      <c r="A12" t="s">
        <v>48</v>
      </c>
      <c r="C12" t="s">
        <v>70</v>
      </c>
      <c r="D12">
        <v>11</v>
      </c>
      <c r="E12">
        <f>18-D12</f>
        <v>7</v>
      </c>
      <c r="F12">
        <v>2</v>
      </c>
      <c r="G12">
        <v>35</v>
      </c>
      <c r="H12">
        <v>10</v>
      </c>
    </row>
    <row r="13" spans="1:8" x14ac:dyDescent="0.25">
      <c r="A13" t="s">
        <v>47</v>
      </c>
      <c r="D13">
        <v>11</v>
      </c>
      <c r="E13">
        <f t="shared" ref="E13:E17" si="0">18-D13</f>
        <v>7</v>
      </c>
      <c r="F13">
        <v>2</v>
      </c>
      <c r="G13">
        <v>35</v>
      </c>
      <c r="H13">
        <v>10</v>
      </c>
    </row>
    <row r="14" spans="1:8" x14ac:dyDescent="0.25">
      <c r="A14" t="s">
        <v>51</v>
      </c>
      <c r="D14">
        <v>11</v>
      </c>
      <c r="E14">
        <f t="shared" si="0"/>
        <v>7</v>
      </c>
      <c r="F14">
        <v>2</v>
      </c>
      <c r="G14">
        <v>40</v>
      </c>
      <c r="H14">
        <v>10</v>
      </c>
    </row>
    <row r="15" spans="1:8" x14ac:dyDescent="0.25">
      <c r="A15" t="s">
        <v>52</v>
      </c>
      <c r="D15">
        <v>11</v>
      </c>
      <c r="E15">
        <f t="shared" si="0"/>
        <v>7</v>
      </c>
      <c r="F15">
        <v>2</v>
      </c>
      <c r="G15">
        <v>40</v>
      </c>
      <c r="H15">
        <v>10</v>
      </c>
    </row>
    <row r="16" spans="1:8" x14ac:dyDescent="0.25">
      <c r="A16" t="s">
        <v>53</v>
      </c>
      <c r="D16">
        <v>11</v>
      </c>
      <c r="E16">
        <f t="shared" si="0"/>
        <v>7</v>
      </c>
      <c r="F16">
        <v>2</v>
      </c>
      <c r="G16">
        <v>45</v>
      </c>
      <c r="H16">
        <v>10</v>
      </c>
    </row>
    <row r="17" spans="1:8" x14ac:dyDescent="0.25">
      <c r="A17" t="s">
        <v>54</v>
      </c>
      <c r="D17">
        <v>11</v>
      </c>
      <c r="E17">
        <f t="shared" si="0"/>
        <v>7</v>
      </c>
      <c r="F17">
        <v>2</v>
      </c>
      <c r="G17">
        <v>45</v>
      </c>
      <c r="H17">
        <v>10</v>
      </c>
    </row>
    <row r="19" spans="1:8" x14ac:dyDescent="0.25">
      <c r="A19" t="s">
        <v>62</v>
      </c>
      <c r="C19" t="s">
        <v>55</v>
      </c>
      <c r="D19">
        <v>9</v>
      </c>
      <c r="E19">
        <f>16-D19</f>
        <v>7</v>
      </c>
      <c r="F19">
        <v>2</v>
      </c>
      <c r="G19">
        <v>30</v>
      </c>
      <c r="H19">
        <v>10</v>
      </c>
    </row>
    <row r="20" spans="1:8" x14ac:dyDescent="0.25">
      <c r="A20" t="s">
        <v>63</v>
      </c>
      <c r="C20" t="s">
        <v>55</v>
      </c>
      <c r="D20">
        <v>9</v>
      </c>
      <c r="E20">
        <f>16-D20</f>
        <v>7</v>
      </c>
      <c r="F20">
        <v>2</v>
      </c>
      <c r="G20">
        <v>30</v>
      </c>
      <c r="H20">
        <v>10</v>
      </c>
    </row>
    <row r="21" spans="1:8" x14ac:dyDescent="0.25">
      <c r="A21" t="s">
        <v>61</v>
      </c>
      <c r="C21" t="s">
        <v>68</v>
      </c>
      <c r="D21">
        <v>11</v>
      </c>
      <c r="E21">
        <f>18-D21</f>
        <v>7</v>
      </c>
      <c r="F21">
        <v>2</v>
      </c>
      <c r="G21">
        <v>35</v>
      </c>
      <c r="H21">
        <v>10</v>
      </c>
    </row>
    <row r="22" spans="1:8" x14ac:dyDescent="0.25">
      <c r="A22" t="s">
        <v>64</v>
      </c>
      <c r="C22" t="s">
        <v>68</v>
      </c>
      <c r="D22">
        <v>11</v>
      </c>
      <c r="E22">
        <f t="shared" ref="E22:E23" si="1">18-D22</f>
        <v>7</v>
      </c>
      <c r="F22">
        <v>2</v>
      </c>
      <c r="G22">
        <v>35</v>
      </c>
      <c r="H22">
        <v>10</v>
      </c>
    </row>
    <row r="23" spans="1:8" x14ac:dyDescent="0.25">
      <c r="A23" t="s">
        <v>65</v>
      </c>
      <c r="C23" t="s">
        <v>68</v>
      </c>
      <c r="D23">
        <v>11</v>
      </c>
      <c r="E23">
        <f t="shared" si="1"/>
        <v>7</v>
      </c>
      <c r="F23">
        <v>2</v>
      </c>
      <c r="G23">
        <v>40</v>
      </c>
      <c r="H23">
        <v>10</v>
      </c>
    </row>
    <row r="25" spans="1:8" x14ac:dyDescent="0.25">
      <c r="A25" t="s">
        <v>66</v>
      </c>
      <c r="C25" t="s">
        <v>55</v>
      </c>
      <c r="D25">
        <v>9</v>
      </c>
      <c r="E25">
        <f>16-D25</f>
        <v>7</v>
      </c>
      <c r="F25">
        <v>2</v>
      </c>
      <c r="G25">
        <v>30</v>
      </c>
      <c r="H25">
        <v>10</v>
      </c>
    </row>
    <row r="26" spans="1:8" x14ac:dyDescent="0.25">
      <c r="A26" t="s">
        <v>67</v>
      </c>
      <c r="C26" t="s">
        <v>55</v>
      </c>
      <c r="D26">
        <v>9</v>
      </c>
      <c r="E26">
        <f>16-D26</f>
        <v>7</v>
      </c>
      <c r="F26">
        <v>2</v>
      </c>
      <c r="G26">
        <v>30</v>
      </c>
      <c r="H26">
        <v>10</v>
      </c>
    </row>
    <row r="27" spans="1:8" x14ac:dyDescent="0.25">
      <c r="A27" t="s">
        <v>66</v>
      </c>
      <c r="C27" t="s">
        <v>68</v>
      </c>
      <c r="D27">
        <v>11</v>
      </c>
      <c r="E27">
        <f>18-D27</f>
        <v>7</v>
      </c>
      <c r="F27">
        <v>2</v>
      </c>
      <c r="G27">
        <v>35</v>
      </c>
      <c r="H27">
        <v>10</v>
      </c>
    </row>
    <row r="28" spans="1:8" x14ac:dyDescent="0.25">
      <c r="A28" t="s">
        <v>67</v>
      </c>
      <c r="C28" t="s">
        <v>68</v>
      </c>
      <c r="D28">
        <v>11</v>
      </c>
      <c r="E28">
        <f t="shared" ref="E28:E29" si="2">18-D28</f>
        <v>7</v>
      </c>
      <c r="F28">
        <v>2</v>
      </c>
      <c r="G28">
        <v>35</v>
      </c>
      <c r="H28">
        <v>10</v>
      </c>
    </row>
    <row r="29" spans="1:8" x14ac:dyDescent="0.25">
      <c r="A29" t="s">
        <v>66</v>
      </c>
      <c r="C29" t="s">
        <v>68</v>
      </c>
      <c r="D29">
        <v>11</v>
      </c>
      <c r="E29">
        <f t="shared" si="2"/>
        <v>7</v>
      </c>
      <c r="F29">
        <v>2</v>
      </c>
      <c r="G29">
        <v>40</v>
      </c>
      <c r="H29">
        <v>10</v>
      </c>
    </row>
    <row r="33" spans="1:4" x14ac:dyDescent="0.25">
      <c r="A33" t="s">
        <v>35</v>
      </c>
      <c r="B33" t="s">
        <v>36</v>
      </c>
      <c r="C33" t="s">
        <v>37</v>
      </c>
      <c r="D33" s="9" t="s">
        <v>59</v>
      </c>
    </row>
    <row r="34" spans="1:4" x14ac:dyDescent="0.25">
      <c r="A34" s="1" t="s">
        <v>0</v>
      </c>
      <c r="C34" t="s">
        <v>42</v>
      </c>
    </row>
    <row r="35" spans="1:4" x14ac:dyDescent="0.25">
      <c r="A35" s="2" t="s">
        <v>1</v>
      </c>
      <c r="B35" t="s">
        <v>38</v>
      </c>
    </row>
    <row r="36" spans="1:4" x14ac:dyDescent="0.25">
      <c r="A36" s="2" t="s">
        <v>2</v>
      </c>
      <c r="B36" t="s">
        <v>38</v>
      </c>
    </row>
    <row r="37" spans="1:4" x14ac:dyDescent="0.25">
      <c r="A37" s="3" t="s">
        <v>43</v>
      </c>
      <c r="B37" t="s">
        <v>38</v>
      </c>
    </row>
    <row r="38" spans="1:4" x14ac:dyDescent="0.25">
      <c r="A38" s="4" t="s">
        <v>44</v>
      </c>
      <c r="B38" t="s">
        <v>38</v>
      </c>
      <c r="C38" t="s">
        <v>45</v>
      </c>
    </row>
    <row r="39" spans="1:4" x14ac:dyDescent="0.25">
      <c r="A39" s="2" t="s">
        <v>3</v>
      </c>
      <c r="C39" t="s">
        <v>39</v>
      </c>
    </row>
    <row r="40" spans="1:4" x14ac:dyDescent="0.25">
      <c r="A40" s="2" t="s">
        <v>4</v>
      </c>
      <c r="B40" s="8" t="s">
        <v>38</v>
      </c>
    </row>
    <row r="41" spans="1:4" x14ac:dyDescent="0.25">
      <c r="A41" s="2" t="s">
        <v>5</v>
      </c>
      <c r="B41" s="8" t="s">
        <v>38</v>
      </c>
    </row>
    <row r="42" spans="1:4" x14ac:dyDescent="0.25">
      <c r="A42" s="2" t="s">
        <v>6</v>
      </c>
      <c r="C42" t="s">
        <v>40</v>
      </c>
    </row>
    <row r="43" spans="1:4" x14ac:dyDescent="0.25">
      <c r="A43" s="5" t="s">
        <v>7</v>
      </c>
      <c r="C43" t="s">
        <v>41</v>
      </c>
    </row>
    <row r="44" spans="1:4" x14ac:dyDescent="0.25">
      <c r="A44" s="2" t="s">
        <v>8</v>
      </c>
      <c r="B44" s="8" t="s">
        <v>38</v>
      </c>
    </row>
    <row r="45" spans="1:4" x14ac:dyDescent="0.25">
      <c r="A45" s="2" t="s">
        <v>9</v>
      </c>
      <c r="C45" t="s">
        <v>40</v>
      </c>
    </row>
    <row r="46" spans="1:4" x14ac:dyDescent="0.25">
      <c r="A46" s="5" t="s">
        <v>10</v>
      </c>
      <c r="C46" t="s">
        <v>41</v>
      </c>
    </row>
    <row r="47" spans="1:4" x14ac:dyDescent="0.25">
      <c r="A47" s="6" t="s">
        <v>11</v>
      </c>
      <c r="B47" s="8" t="s">
        <v>38</v>
      </c>
    </row>
    <row r="48" spans="1:4" x14ac:dyDescent="0.25">
      <c r="A48" s="6" t="s">
        <v>12</v>
      </c>
      <c r="B48" s="8" t="s">
        <v>38</v>
      </c>
    </row>
    <row r="49" spans="1:2" x14ac:dyDescent="0.25">
      <c r="A49" s="6" t="s">
        <v>13</v>
      </c>
      <c r="B49" s="8" t="s">
        <v>38</v>
      </c>
    </row>
    <row r="50" spans="1:2" x14ac:dyDescent="0.25">
      <c r="A50" s="6" t="s">
        <v>14</v>
      </c>
      <c r="B50" s="8" t="s">
        <v>38</v>
      </c>
    </row>
    <row r="51" spans="1:2" x14ac:dyDescent="0.25">
      <c r="A51" s="6" t="s">
        <v>15</v>
      </c>
      <c r="B51" s="8" t="s">
        <v>38</v>
      </c>
    </row>
    <row r="52" spans="1:2" x14ac:dyDescent="0.25">
      <c r="A52" s="2" t="s">
        <v>16</v>
      </c>
      <c r="B52" s="8" t="s">
        <v>38</v>
      </c>
    </row>
    <row r="53" spans="1:2" x14ac:dyDescent="0.25">
      <c r="A53" s="6" t="s">
        <v>17</v>
      </c>
    </row>
    <row r="54" spans="1:2" x14ac:dyDescent="0.25">
      <c r="A54" s="2" t="s">
        <v>32</v>
      </c>
      <c r="B54" s="8" t="s">
        <v>38</v>
      </c>
    </row>
    <row r="55" spans="1:2" x14ac:dyDescent="0.25">
      <c r="A55" s="2" t="s">
        <v>33</v>
      </c>
      <c r="B55" s="8" t="s">
        <v>38</v>
      </c>
    </row>
    <row r="56" spans="1:2" x14ac:dyDescent="0.25">
      <c r="A56" s="2" t="s">
        <v>18</v>
      </c>
      <c r="B56" s="8" t="s">
        <v>38</v>
      </c>
    </row>
    <row r="57" spans="1:2" x14ac:dyDescent="0.25">
      <c r="A57" s="2" t="s">
        <v>46</v>
      </c>
      <c r="B57" s="8" t="s">
        <v>38</v>
      </c>
    </row>
    <row r="58" spans="1:2" x14ac:dyDescent="0.25">
      <c r="A58" s="6" t="s">
        <v>19</v>
      </c>
    </row>
    <row r="59" spans="1:2" x14ac:dyDescent="0.25">
      <c r="A59" s="2" t="s">
        <v>20</v>
      </c>
    </row>
    <row r="60" spans="1:2" x14ac:dyDescent="0.25">
      <c r="A60" s="2" t="s">
        <v>21</v>
      </c>
    </row>
    <row r="61" spans="1:2" x14ac:dyDescent="0.25">
      <c r="A61" s="2" t="s">
        <v>34</v>
      </c>
    </row>
    <row r="62" spans="1:2" x14ac:dyDescent="0.25">
      <c r="A62" s="2" t="s">
        <v>22</v>
      </c>
    </row>
    <row r="63" spans="1:2" x14ac:dyDescent="0.25">
      <c r="A63" s="2" t="s">
        <v>23</v>
      </c>
    </row>
    <row r="64" spans="1:2" x14ac:dyDescent="0.25">
      <c r="A64" s="2" t="s">
        <v>24</v>
      </c>
    </row>
    <row r="65" spans="1:1" x14ac:dyDescent="0.25">
      <c r="A65" s="2" t="s">
        <v>25</v>
      </c>
    </row>
    <row r="66" spans="1:1" x14ac:dyDescent="0.25">
      <c r="A66" s="2" t="s">
        <v>26</v>
      </c>
    </row>
    <row r="67" spans="1:1" x14ac:dyDescent="0.25">
      <c r="A67" s="2" t="s">
        <v>27</v>
      </c>
    </row>
    <row r="68" spans="1:1" x14ac:dyDescent="0.25">
      <c r="A68" s="2" t="s">
        <v>28</v>
      </c>
    </row>
    <row r="69" spans="1:1" x14ac:dyDescent="0.25">
      <c r="A69" s="2" t="s">
        <v>29</v>
      </c>
    </row>
    <row r="70" spans="1:1" x14ac:dyDescent="0.25">
      <c r="A70" s="2" t="s">
        <v>30</v>
      </c>
    </row>
    <row r="71" spans="1:1" x14ac:dyDescent="0.25">
      <c r="A71" s="7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Tables_for_vlookups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Veikko Valli</cp:lastModifiedBy>
  <dcterms:created xsi:type="dcterms:W3CDTF">2023-05-30T10:05:18Z</dcterms:created>
  <dcterms:modified xsi:type="dcterms:W3CDTF">2026-03-03T01:30:02Z</dcterms:modified>
</cp:coreProperties>
</file>